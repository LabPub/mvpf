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b2\Downloads\"/>
    </mc:Choice>
  </mc:AlternateContent>
  <xr:revisionPtr revIDLastSave="0" documentId="13_ncr:1_{8D1BD905-1F13-4C73-AFAD-74468D18DFB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f" sheetId="1" r:id="rId1"/>
    <sheet name="WTP" sheetId="4" r:id="rId2"/>
    <sheet name="costs" sheetId="12" r:id="rId3"/>
    <sheet name="MVPF" sheetId="13" r:id="rId4"/>
  </sheets>
  <definedNames>
    <definedName name="_xlchart.v1.0" hidden="1">MVPF!$C$11:$F$11</definedName>
    <definedName name="_xlchart.v1.1" hidden="1">MVPF!$C$12:$F$12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D17" i="4"/>
  <c r="D14" i="4"/>
  <c r="D15" i="4" s="1"/>
  <c r="B32" i="12"/>
  <c r="B23" i="12"/>
  <c r="D22" i="4"/>
  <c r="P24" i="4" l="1"/>
  <c r="O24" i="4"/>
  <c r="O25" i="4" s="1"/>
  <c r="O28" i="4" s="1"/>
  <c r="N24" i="4"/>
  <c r="M24" i="4"/>
  <c r="M25" i="4" s="1"/>
  <c r="M28" i="4" s="1"/>
  <c r="L24" i="4"/>
  <c r="L25" i="4" s="1"/>
  <c r="L28" i="4" s="1"/>
  <c r="K24" i="4"/>
  <c r="K25" i="4" s="1"/>
  <c r="K28" i="4" s="1"/>
  <c r="J24" i="4"/>
  <c r="J25" i="4" s="1"/>
  <c r="J28" i="4" s="1"/>
  <c r="I24" i="4"/>
  <c r="H24" i="4"/>
  <c r="H25" i="4" s="1"/>
  <c r="H28" i="4" s="1"/>
  <c r="P27" i="4"/>
  <c r="B31" i="12"/>
  <c r="B19" i="12"/>
  <c r="B14" i="12"/>
  <c r="G44" i="4"/>
  <c r="D12" i="4"/>
  <c r="O27" i="4"/>
  <c r="N27" i="4"/>
  <c r="M27" i="4"/>
  <c r="L27" i="4"/>
  <c r="K27" i="4"/>
  <c r="J27" i="4"/>
  <c r="I27" i="4"/>
  <c r="H27" i="4"/>
  <c r="G35" i="4"/>
  <c r="G36" i="4" s="1"/>
  <c r="G37" i="4" s="1"/>
  <c r="G38" i="4" s="1"/>
  <c r="G39" i="4" s="1"/>
  <c r="G40" i="4" s="1"/>
  <c r="G41" i="4" s="1"/>
  <c r="G42" i="4" s="1"/>
  <c r="B25" i="12"/>
  <c r="Q27" i="4" l="1"/>
  <c r="I25" i="4"/>
  <c r="I28" i="4" s="1"/>
  <c r="N25" i="4"/>
  <c r="N28" i="4" s="1"/>
  <c r="P25" i="4"/>
  <c r="P28" i="4" s="1"/>
  <c r="Q28" i="4"/>
  <c r="G45" i="4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B29" i="12"/>
  <c r="C7" i="4"/>
  <c r="D7" i="4"/>
  <c r="D16" i="4" s="1"/>
  <c r="H31" i="4" l="1"/>
  <c r="Q30" i="4"/>
  <c r="D8" i="4"/>
  <c r="B16" i="12"/>
  <c r="D23" i="4" s="1"/>
  <c r="D24" i="4" s="1"/>
  <c r="D20" i="4" l="1"/>
  <c r="D25" i="4" s="1"/>
  <c r="C4" i="4"/>
  <c r="D26" i="4" l="1"/>
  <c r="D27" i="4" s="1"/>
  <c r="D32" i="4" s="1"/>
  <c r="H52" i="4" l="1"/>
  <c r="H45" i="4"/>
  <c r="H71" i="4"/>
  <c r="H76" i="4"/>
  <c r="H58" i="4"/>
  <c r="H60" i="4"/>
  <c r="H63" i="4"/>
  <c r="H55" i="4"/>
  <c r="H49" i="4"/>
  <c r="H80" i="4"/>
  <c r="H62" i="4"/>
  <c r="H54" i="4"/>
  <c r="H46" i="4"/>
  <c r="H79" i="4"/>
  <c r="H75" i="4"/>
  <c r="H81" i="4"/>
  <c r="H47" i="4"/>
  <c r="H51" i="4"/>
  <c r="H53" i="4"/>
  <c r="H67" i="4"/>
  <c r="H72" i="4"/>
  <c r="H64" i="4"/>
  <c r="H61" i="4"/>
  <c r="H59" i="4"/>
  <c r="H56" i="4"/>
  <c r="H50" i="4"/>
  <c r="H65" i="4"/>
  <c r="H70" i="4"/>
  <c r="H68" i="4"/>
  <c r="H57" i="4"/>
  <c r="H66" i="4"/>
  <c r="H78" i="4"/>
  <c r="H69" i="4"/>
  <c r="H74" i="4"/>
  <c r="H77" i="4"/>
  <c r="H44" i="4"/>
  <c r="H48" i="4"/>
  <c r="H73" i="4"/>
  <c r="H82" i="4"/>
  <c r="H83" i="4"/>
  <c r="B13" i="12"/>
  <c r="B30" i="12" s="1"/>
  <c r="B34" i="12" l="1"/>
  <c r="D4" i="4"/>
  <c r="B15" i="12"/>
  <c r="D5" i="4" l="1"/>
  <c r="D5" i="13" s="1"/>
  <c r="D35" i="4"/>
  <c r="I40" i="4" l="1"/>
  <c r="I42" i="4"/>
  <c r="I39" i="4"/>
  <c r="I41" i="4"/>
  <c r="D12" i="13"/>
  <c r="I43" i="4"/>
  <c r="I35" i="4"/>
  <c r="I36" i="4"/>
  <c r="I37" i="4"/>
  <c r="I38" i="4"/>
  <c r="D36" i="4" l="1"/>
  <c r="D38" i="4" l="1"/>
  <c r="D8" i="13" s="1"/>
  <c r="B35" i="12" l="1"/>
  <c r="B37" i="12" s="1"/>
  <c r="B38" i="12" l="1"/>
  <c r="D4" i="13" s="1"/>
  <c r="E12" i="13"/>
  <c r="F12" i="13" s="1"/>
  <c r="D6" i="13" l="1"/>
  <c r="D9" i="13"/>
  <c r="B39" i="12"/>
</calcChain>
</file>

<file path=xl/sharedStrings.xml><?xml version="1.0" encoding="utf-8"?>
<sst xmlns="http://schemas.openxmlformats.org/spreadsheetml/2006/main" count="130" uniqueCount="114">
  <si>
    <t>Meses</t>
  </si>
  <si>
    <t>Taxa de impostos e transferências</t>
  </si>
  <si>
    <t>Acesso em</t>
  </si>
  <si>
    <t>Fonte</t>
  </si>
  <si>
    <t>https://pdf.sciencedirectassets.com/271688/1-s2.0-S0304387811X0007X/1-s2.0-S0304387811000538/main.pdf?X-Amz-Security-Token=IQoJb3JpZ2luX2VjEOD%2F%2F%2F%2F%2F%2F%2F%2F%2F%2FwEaCXVzLWVhc3QtMSJIMEYCIQCVByvlata7ghiFij5xFh1BS4Vtjzj5SVb2Qw82rmx4GAIhAMm5hGEjUFFe2pTVPbUBjnhKA91%2B5vrZwFNoUiVbO8plKrIFCBgQBRoMMDU5MDAzNTQ2ODY1Igy4mhZrFuLK2icLHpcqjwV0hFVy%2FHQrt7u8M1oeDhVLTLZZkMVI%2BoyBHN2IolUcQHLke3H4xlL%2B9X2q2b8w0uCkHjYFvdN%2BZutX8vH41rexLMqb4gpeYvk6BmQ%2FjmuLzMvhyiYQmDPYtK2MGjw643zowFM3shO1ZajMN3i5wrJEbtG2qscJ5zdrGf1zLiBmQl8mVWw15K9rSNNFqVyLeavOK%2B8oRplQz%2B1rVjyNXNDx0KJERB2%2BR3cbp41%2F3QCRW6PRc1tYnHOcvAChH6h4goGHne1E8u6%2B6Pcxb0UWFrWztIr2hykMdRQuI13%2B4IWuiGUA12xQo%2FJaZXyskK3k%2BfzwWXECce2yScRt8yUYsaM1fuJGNK%2F1kntJYy7JBa8OaN%2Bf5jtDd1P4SZEGCk2%2BoMrF5UzhyHQRludUN8252GYDgJw28xsqHYZndR5pj4F4z5HK6vYhr%2FBTKSY2S0ZL%2BRf728FHjA5ovPnKCmJI2flIk0ZtZXdIdGqIMSggVUGvuM8sMhIEJ7nvF5DbOxO0DkPgzhjWbczsgoIRL9OhhFQAXsxGmy8J5FTT8fnzoPOSg7czd61ur7R%2BIAXKT140Iom2twwnfqdVtRPe7tq6gyn1qLwWC6abAgTeCuN8McNjy686VKuwXicIIw0TwrcJEyzCffa%2BdDcoxnVQjLFm8Rjdv2B3PKxasp4LIQBA5UFZ%2FZigKQtZlwiaIEKU%2F%2FVu7Zac2YFAtDrhX%2B%2FNNMT4N3yCOFNIruXdZS1gK8Y6%2BYH0nYKfnfPh%2BkDJu9mhaM9qof7HUSnsQZCyuiiw%2FquSQNxG7I2%2Fs11IKuIpFG%2FeKGjYHvZ%2B%2FhWPOq%2BTG79am7sZ%2Fx0pcCY5TQ7K5%2BpcGngETAtlDHizSopy036HgKpFoytYMI7TiaoGOrABg5VslTaZEyElMir7L5dtRle7XzlB4stFzanv3OZbIC%2FfFhWqxJlWGBUVoiHaLCKDDX%2BHMIpuBnO7MMz1sGrdXQjv9TZbYAT%2FkVJmcBfbVfS6Zw5%2BnVUTslOKS9DjXCY5qLycVjVnAAPD6ovJqywmsbcG68jnHAFaDrefSTWPTuV2VD9hmZQRyw8f2HEjOQUsUk4snKyTLgXXWmtJyso2OJylJ5OJ8a22SZ1k3NZu5d0%3D&amp;X-Amz-Algorithm=AWS4-HMAC-SHA256&amp;X-Amz-Date=20231101T162406Z&amp;X-Amz-SignedHeaders=host&amp;X-Amz-Expires=300&amp;X-Amz-Credential=ASIAQ3PHCVTY4JVSQSTW%2F20231101%2Fus-east-1%2Fs3%2Faws4_request&amp;X-Amz-Signature=d3f036fe29ba9280daaf4f894ffa13b9949f4812c232371a39657a1aedbff2f2&amp;hash=a4cca87138d55f1c5ac26395d441c53fc49171aa2ff68095e20f59261948aec7&amp;host=68042c943591013ac2b2430a89b270f6af2c76d8dfd086a07176afe7c76c2c61&amp;pii=S0304387811000538&amp;tid=spdf-2f3224fb-b9ec-4ac3-a9a8-e19c8d90139c&amp;sid=e6cfd1268f9cc44ad16b68813ebb0ae522b4gxrqa&amp;type=client&amp;tsoh=d3d3LnNjaWVuY2VkaXJlY3QuY29t&amp;ua=18145c540050500352055a&amp;rr=81f57c6e4982030d&amp;cc=br</t>
  </si>
  <si>
    <t>Aumento esperado na renda futura dos filhos de participantes do BF</t>
  </si>
  <si>
    <t>alíquota de impostos</t>
  </si>
  <si>
    <r>
      <t>SHEI, Amie. Brazil’s conditional cash transfer program associated with declines in infant mortality rates. </t>
    </r>
    <r>
      <rPr>
        <b/>
        <sz val="10"/>
        <color rgb="FF222222"/>
        <rFont val="Arial"/>
        <family val="2"/>
      </rPr>
      <t>Health Affairs</t>
    </r>
    <r>
      <rPr>
        <sz val="10"/>
        <color rgb="FF222222"/>
        <rFont val="Arial"/>
        <family val="2"/>
      </rPr>
      <t>, v. 32, n. 7, p. 1274-1281, 2013.</t>
    </r>
  </si>
  <si>
    <t>https://www.healthaffairs.org/doi/10.1377/hlthaff.2012.0827</t>
  </si>
  <si>
    <t>Valor estatístico de uma vida</t>
  </si>
  <si>
    <t>Ref completa</t>
  </si>
  <si>
    <t>https://www.revistas.usp.br/ee/article/view/160043/161629</t>
  </si>
  <si>
    <t>VSL (value of a statistical life ) de R$3,294 milhão (em reais de 2015)</t>
  </si>
  <si>
    <r>
      <t>PEREIRA, Rafael Mesquita; ALMEIDA, Alexandre Nunes de; OLIVEIRA, Cristiano Aguiar de. O valor estatístico de uma vida: estimativas para o Brasil. </t>
    </r>
    <r>
      <rPr>
        <b/>
        <sz val="10"/>
        <color rgb="FF222222"/>
        <rFont val="Arial"/>
        <family val="2"/>
      </rPr>
      <t>Estudos Econômicos (São Paulo)</t>
    </r>
    <r>
      <rPr>
        <sz val="10"/>
        <color rgb="FF222222"/>
        <rFont val="Arial"/>
        <family val="2"/>
      </rPr>
      <t>, v. 50, p. 227-259, 2020.</t>
    </r>
  </si>
  <si>
    <t>Impacto sobre a mortalidade infatil</t>
  </si>
  <si>
    <r>
      <t>GLEWWE, Paul; KASSOUF, Ana Lucia. The impact of the Bolsa Escola/Familia conditional cash transfer program on enrollment, dropout rates and grade promotion in Brazil. </t>
    </r>
    <r>
      <rPr>
        <b/>
        <sz val="10"/>
        <color rgb="FF222222"/>
        <rFont val="Arial"/>
        <family val="2"/>
      </rPr>
      <t>Journal of development Economics</t>
    </r>
    <r>
      <rPr>
        <sz val="10"/>
        <color rgb="FF222222"/>
        <rFont val="Arial"/>
        <family val="2"/>
      </rPr>
      <t>, v. 97, n. 2, p. 505-517, 2012.</t>
    </r>
  </si>
  <si>
    <t xml:space="preserve">WTP </t>
  </si>
  <si>
    <t>MVPF - BF</t>
  </si>
  <si>
    <t>Numero de familias</t>
  </si>
  <si>
    <t>Numero de individuos</t>
  </si>
  <si>
    <t>Cadastro único - agosto de 2010</t>
  </si>
  <si>
    <t>Numero de individuos no BF</t>
  </si>
  <si>
    <t>Pagina 12</t>
  </si>
  <si>
    <t>TABLE 1: PBF BENEFICIARIES AND FORMAL EMPLOYMENT</t>
  </si>
  <si>
    <t xml:space="preserve">Benefício médio por família  </t>
  </si>
  <si>
    <t>Tamanho médio da família (beneficiarios BF)</t>
  </si>
  <si>
    <t>Renda per capita média da família (beneficiarios BF)</t>
  </si>
  <si>
    <t>Valor do benefício médio anual</t>
  </si>
  <si>
    <t>impact of PBF on local formal labor markets</t>
  </si>
  <si>
    <t>https://www.dropbox.com/s/fgb3wt9r1uzggit/CT_GerardNaritomiSilva.pdf?dl=0</t>
  </si>
  <si>
    <t>ref</t>
  </si>
  <si>
    <t>diff- in-diff</t>
  </si>
  <si>
    <t>Página 23 - table 3</t>
  </si>
  <si>
    <t>Aumento de 13,6% nos pagamentos totais do bolsa família gera aumento de 2% no emprego formal- privado</t>
  </si>
  <si>
    <t>Aumento de 13,6% nos pagamentos do bolsa família gera aumento de 2,7% nos impostos pagos</t>
  </si>
  <si>
    <t>tempo entre 2010-2016</t>
  </si>
  <si>
    <t>taxa de inflação média (entre 2010 e 2016)</t>
  </si>
  <si>
    <t>taxa de cambio em 2016</t>
  </si>
  <si>
    <t>Renda média anual familiar - sem BF</t>
  </si>
  <si>
    <t>Renda média anual familiar - com BF</t>
  </si>
  <si>
    <t>Custo implícito por emprego formal (anual)- o número de empregos formais adicionais dividido pelo aumento nos pagamentos do PBF (Programa Bolsa Família) - (U$ 2016)</t>
  </si>
  <si>
    <t>Beneficio final do BF em termos de emprego (custo anual do programa por família / beneficio em termos de emprego gerado pelo BF)</t>
  </si>
  <si>
    <t>Aumento de 1% nos pagamentos do bolsa família gera aumento de 0,20% nos impostos pagos</t>
  </si>
  <si>
    <t>Taxa de desconto</t>
  </si>
  <si>
    <t>MVPF</t>
  </si>
  <si>
    <t>MVPF sem disposição a pagar dos filhos</t>
  </si>
  <si>
    <t>GERARD, François; NARITOMI, Joana; SILVA, Joana. Cash transfers and formal labor markets: Evidence from Brazil. 2021.</t>
  </si>
  <si>
    <t>Impacto sobre geração de empregos formais (obtem custo implícito por emprego formal)</t>
  </si>
  <si>
    <t>Disposição a pagar dos pais</t>
  </si>
  <si>
    <t>Renda média anual per capita - sem BF</t>
  </si>
  <si>
    <t>Rendimento médio por integrante beneficiario do BF  por ano - sem o BF</t>
  </si>
  <si>
    <t>Rendimento - sem BF - liquido</t>
  </si>
  <si>
    <t>Rendimento - com BF - liquido</t>
  </si>
  <si>
    <t>MVPF - PBF</t>
  </si>
  <si>
    <t>Disposição a pagar dos filhos</t>
  </si>
  <si>
    <r>
      <t xml:space="preserve">Externalidade fiscal devido ao </t>
    </r>
    <r>
      <rPr>
        <b/>
        <sz val="11"/>
        <color theme="1"/>
        <rFont val="Calibri"/>
        <family val="2"/>
      </rPr>
      <t>aumento</t>
    </r>
    <r>
      <rPr>
        <sz val="11"/>
        <color theme="1"/>
        <rFont val="Calibri"/>
        <family val="2"/>
        <scheme val="minor"/>
      </rPr>
      <t xml:space="preserve"> na arrecadação tributária</t>
    </r>
  </si>
  <si>
    <t>Externalidade fiscal de  reais por cada R$1 em BF</t>
  </si>
  <si>
    <t>Liquido</t>
  </si>
  <si>
    <t>imposto - sem BF</t>
  </si>
  <si>
    <t>imposto - com BF</t>
  </si>
  <si>
    <t>Externalidade fiscal devido ao aumento na arrecadação tributária - via aumento de renda dos filhos</t>
  </si>
  <si>
    <t>SOMA (Disposição a pagar dos filhos + Disposição a pagar dos pais)</t>
  </si>
  <si>
    <t>Número de pessoas (1% do PBF)</t>
  </si>
  <si>
    <t>Ganho líquido do "filho" do bolsa famolia (aumento na renda para filho de participante, que teve retorno a educação e aumento de salário)</t>
  </si>
  <si>
    <t>ganho econômico por beneficiário adicionado</t>
  </si>
  <si>
    <r>
      <t xml:space="preserve">Renda Total média da família </t>
    </r>
    <r>
      <rPr>
        <sz val="11"/>
        <color rgb="FFFF0000"/>
        <rFont val="Calibri"/>
        <family val="2"/>
        <scheme val="minor"/>
      </rPr>
      <t xml:space="preserve">sem BF </t>
    </r>
    <r>
      <rPr>
        <sz val="11"/>
        <color theme="1"/>
        <rFont val="Calibri"/>
        <family val="2"/>
        <scheme val="minor"/>
      </rPr>
      <t>(beneficiarios BF)</t>
    </r>
  </si>
  <si>
    <t>Custo implícito por emprego formal (anual) - R$ 2010</t>
  </si>
  <si>
    <t>Custo</t>
  </si>
  <si>
    <r>
      <t>Redução na Taxa de "</t>
    </r>
    <r>
      <rPr>
        <b/>
        <i/>
        <sz val="11"/>
        <color theme="1"/>
        <rFont val="Calibri"/>
        <family val="2"/>
        <scheme val="minor"/>
      </rPr>
      <t>Drop Out</t>
    </r>
    <r>
      <rPr>
        <b/>
        <sz val="11"/>
        <color theme="1"/>
        <rFont val="Calibri"/>
        <family val="2"/>
        <scheme val="minor"/>
      </rPr>
      <t>"</t>
    </r>
  </si>
  <si>
    <t>Séries</t>
  </si>
  <si>
    <t>Crescimento</t>
  </si>
  <si>
    <t xml:space="preserve">Taxa de "Drop Out" </t>
  </si>
  <si>
    <t>Taxa de "Drop Out" sem Bolsa</t>
  </si>
  <si>
    <t xml:space="preserve">Prob de Continuar </t>
  </si>
  <si>
    <t>Prob de Continuar (s/bolsa)</t>
  </si>
  <si>
    <r>
      <t xml:space="preserve">Ganho de renda por ganho de escolaridade (38% </t>
    </r>
    <r>
      <rPr>
        <sz val="11"/>
        <color theme="1"/>
        <rFont val="Calibri"/>
        <family val="2"/>
        <scheme val="minor"/>
      </rPr>
      <t>por completar o fundamental)</t>
    </r>
    <r>
      <rPr>
        <b/>
        <sz val="11"/>
        <color theme="1"/>
        <rFont val="Calibri"/>
        <family val="2"/>
        <scheme val="minor"/>
      </rPr>
      <t>:</t>
    </r>
  </si>
  <si>
    <t>VSL (em reais de 2010) - 1.44 é o Índice de Correção para o período</t>
  </si>
  <si>
    <t>Subtotal</t>
  </si>
  <si>
    <t>Valor devido a alterações comportamentais (fornece disposição de pagar mínima)</t>
  </si>
  <si>
    <t>Rendimento médio - considerando aumento de produtividade</t>
  </si>
  <si>
    <t>Anos de trabalho</t>
  </si>
  <si>
    <t>Anos de Estudo (de custo)</t>
  </si>
  <si>
    <t>Calculo de Ganho de produtividade</t>
  </si>
  <si>
    <t>Ganho de Renda por Término do EF (Boletim Regional do BC - janeiro de 2019)</t>
  </si>
  <si>
    <t>Obs</t>
  </si>
  <si>
    <t>VPL do ganho por filho ao longo de 40 anos</t>
  </si>
  <si>
    <t>Nº de filhos beneficiado pelo ganho de produtividade</t>
  </si>
  <si>
    <t xml:space="preserve">Boletim regional – janeiro de 2019. Disponível em: &lt;https://www.bcb.gov.br/publicacoes/boletimregional/201901&gt;. Acesso em: 7 nov. 2024. </t>
  </si>
  <si>
    <t>Impacto sobre o Drop Out de crianças cujos pais receberam BF</t>
  </si>
  <si>
    <t>Impacto do ganho de escolaridade na renda</t>
  </si>
  <si>
    <t xml:space="preserve">https://www.bcb.gov.br/publicacoes/boletimregional/201901 </t>
  </si>
  <si>
    <t>Estimada com base no impacto do BF nas taxas de "Drop Out", e do impacto de um ano a mais de escolaridade na renda futura (ao lado)</t>
  </si>
  <si>
    <t>Estimativas Próprias</t>
  </si>
  <si>
    <t>Fonte:</t>
  </si>
  <si>
    <t>Tx. De Desconto</t>
  </si>
  <si>
    <t>Custo líquido do governo (em % do benefício)</t>
  </si>
  <si>
    <t>Desvio Padrão</t>
  </si>
  <si>
    <t>Cálculo do VPL</t>
  </si>
  <si>
    <t>Ganhos (Educação)</t>
  </si>
  <si>
    <t>Custo do Programa</t>
  </si>
  <si>
    <t xml:space="preserve">Índice de gestão descentralizada do Bolsa Família e do CadÚnico  (IGD/PBF) - custo por cadastro valido (https://aprece.org.br/noticia/indice-de-gestao-descentralizada-do-bolsa-familia-e-do-cadunico-teve-valor-reajustado/#:~:text=A%20Portaria%20887%2F2023%2C%20publicada,a%20ser%20repassado%20aos%20municípios) </t>
  </si>
  <si>
    <t>Não reporta sd</t>
  </si>
  <si>
    <t>ganho econômico por família adicionada</t>
  </si>
  <si>
    <t>Aumento da renda devido a uma família beneficiária a mais</t>
  </si>
  <si>
    <t>Salário Médio Anual Mercado Formal em 2010 (CEMPRE, 2010)</t>
  </si>
  <si>
    <t>TOTAL</t>
  </si>
  <si>
    <t>Valoração Direta</t>
  </si>
  <si>
    <t>Valoração Ganho de Produtividade</t>
  </si>
  <si>
    <t>Valoração Vida Infantil</t>
  </si>
  <si>
    <t>Nascimentos (2010)</t>
  </si>
  <si>
    <t>Mortes Infantis - menores de 1 ano (2010)</t>
  </si>
  <si>
    <t>ATT Bolsa Família</t>
  </si>
  <si>
    <t>Mortalidade sem o programa</t>
  </si>
  <si>
    <t>Vidas Salvas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</si>
</sst>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_-[$R$-416]\ * #,##0.00_-;\-[$R$-416]\ * #,##0.00_-;_-[$R$-416]\ * &quot;-&quot;??_-;_-@_-"/>
    <numFmt numFmtId="166" formatCode="0.000"/>
    <numFmt numFmtId="167" formatCode="0.00000"/>
    <numFmt numFmtId="168" formatCode="0.0000"/>
    <numFmt numFmtId="169" formatCode="&quot;R$&quot;\ #,##0.0;[Red]\-&quot;R$&quot;\ #,##0.0"/>
    <numFmt numFmtId="170" formatCode="0.000000"/>
    <numFmt numFmtId="171" formatCode="_-&quot;R$&quot;\ * #,##0.000000_-;\-&quot;R$&quot;\ * #,##0.000000_-;_-&quot;R$&quot;\ * &quot;-&quot;??_-;_-@_-"/>
    <numFmt numFmtId="172" formatCode="_-[$R$-416]\ * #,##0.0000_-;\-[$R$-416]\ * #,##0.0000_-;_-[$R$-416]\ * &quot;-&quot;??_-;_-@_-"/>
    <numFmt numFmtId="173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u/>
      <sz val="11"/>
      <color theme="10"/>
      <name val="Calibri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3" borderId="0" xfId="0" applyFont="1" applyFill="1"/>
    <xf numFmtId="1" fontId="0" fillId="0" borderId="0" xfId="0" applyNumberFormat="1"/>
    <xf numFmtId="1" fontId="2" fillId="0" borderId="0" xfId="0" applyNumberFormat="1" applyFont="1"/>
    <xf numFmtId="0" fontId="0" fillId="4" borderId="0" xfId="0" applyFill="1"/>
    <xf numFmtId="0" fontId="0" fillId="0" borderId="0" xfId="0" applyAlignment="1">
      <alignment wrapText="1"/>
    </xf>
    <xf numFmtId="10" fontId="0" fillId="0" borderId="0" xfId="0" applyNumberFormat="1"/>
    <xf numFmtId="2" fontId="4" fillId="0" borderId="0" xfId="2" applyNumberFormat="1" applyAlignment="1" applyProtection="1"/>
    <xf numFmtId="0" fontId="4" fillId="0" borderId="0" xfId="2" applyAlignment="1" applyProtection="1"/>
    <xf numFmtId="10" fontId="0" fillId="0" borderId="0" xfId="1" applyNumberFormat="1" applyFont="1"/>
    <xf numFmtId="0" fontId="5" fillId="0" borderId="0" xfId="0" applyFont="1"/>
    <xf numFmtId="0" fontId="4" fillId="0" borderId="0" xfId="2" applyNumberFormat="1" applyAlignment="1" applyProtection="1"/>
    <xf numFmtId="0" fontId="2" fillId="4" borderId="0" xfId="0" applyFont="1" applyFill="1"/>
    <xf numFmtId="0" fontId="3" fillId="4" borderId="0" xfId="0" applyFont="1" applyFill="1"/>
    <xf numFmtId="9" fontId="0" fillId="0" borderId="0" xfId="0" applyNumberFormat="1"/>
    <xf numFmtId="165" fontId="0" fillId="0" borderId="0" xfId="0" applyNumberFormat="1"/>
    <xf numFmtId="2" fontId="0" fillId="4" borderId="0" xfId="0" applyNumberFormat="1" applyFill="1"/>
    <xf numFmtId="8" fontId="0" fillId="0" borderId="0" xfId="0" applyNumberFormat="1"/>
    <xf numFmtId="2" fontId="2" fillId="0" borderId="0" xfId="0" applyNumberFormat="1" applyFont="1"/>
    <xf numFmtId="44" fontId="2" fillId="0" borderId="0" xfId="0" applyNumberFormat="1" applyFont="1"/>
    <xf numFmtId="8" fontId="9" fillId="0" borderId="0" xfId="0" applyNumberFormat="1" applyFont="1"/>
    <xf numFmtId="0" fontId="0" fillId="5" borderId="0" xfId="0" applyFill="1"/>
    <xf numFmtId="166" fontId="0" fillId="0" borderId="0" xfId="0" applyNumberFormat="1"/>
    <xf numFmtId="168" fontId="0" fillId="0" borderId="0" xfId="0" applyNumberFormat="1"/>
    <xf numFmtId="2" fontId="0" fillId="5" borderId="0" xfId="0" applyNumberFormat="1" applyFill="1"/>
    <xf numFmtId="1" fontId="0" fillId="5" borderId="0" xfId="0" applyNumberFormat="1" applyFill="1"/>
    <xf numFmtId="0" fontId="2" fillId="5" borderId="0" xfId="0" applyFont="1" applyFill="1"/>
    <xf numFmtId="164" fontId="0" fillId="5" borderId="0" xfId="1" applyNumberFormat="1" applyFont="1" applyFill="1"/>
    <xf numFmtId="0" fontId="0" fillId="2" borderId="0" xfId="0" applyFill="1"/>
    <xf numFmtId="1" fontId="2" fillId="2" borderId="0" xfId="0" applyNumberFormat="1" applyFont="1" applyFill="1" applyAlignment="1">
      <alignment horizontal="right"/>
    </xf>
    <xf numFmtId="0" fontId="2" fillId="2" borderId="0" xfId="0" applyFont="1" applyFill="1"/>
    <xf numFmtId="164" fontId="0" fillId="2" borderId="0" xfId="1" applyNumberFormat="1" applyFont="1" applyFill="1"/>
    <xf numFmtId="10" fontId="0" fillId="2" borderId="0" xfId="0" applyNumberFormat="1" applyFill="1"/>
    <xf numFmtId="166" fontId="0" fillId="2" borderId="0" xfId="0" applyNumberFormat="1" applyFill="1"/>
    <xf numFmtId="9" fontId="0" fillId="2" borderId="0" xfId="0" applyNumberFormat="1" applyFill="1"/>
    <xf numFmtId="166" fontId="2" fillId="4" borderId="0" xfId="0" applyNumberFormat="1" applyFont="1" applyFill="1"/>
    <xf numFmtId="0" fontId="5" fillId="5" borderId="0" xfId="0" applyFont="1" applyFill="1"/>
    <xf numFmtId="165" fontId="0" fillId="5" borderId="0" xfId="0" applyNumberFormat="1" applyFill="1"/>
    <xf numFmtId="170" fontId="2" fillId="4" borderId="0" xfId="0" applyNumberFormat="1" applyFont="1" applyFill="1"/>
    <xf numFmtId="166" fontId="0" fillId="5" borderId="0" xfId="0" applyNumberFormat="1" applyFill="1"/>
    <xf numFmtId="164" fontId="0" fillId="5" borderId="0" xfId="0" applyNumberFormat="1" applyFill="1"/>
    <xf numFmtId="0" fontId="2" fillId="6" borderId="0" xfId="0" applyFont="1" applyFill="1"/>
    <xf numFmtId="0" fontId="0" fillId="6" borderId="0" xfId="0" applyFill="1"/>
    <xf numFmtId="164" fontId="0" fillId="0" borderId="0" xfId="1" applyNumberFormat="1" applyFont="1"/>
    <xf numFmtId="9" fontId="0" fillId="5" borderId="0" xfId="0" applyNumberFormat="1" applyFill="1"/>
    <xf numFmtId="44" fontId="0" fillId="5" borderId="0" xfId="3" applyFont="1" applyFill="1"/>
    <xf numFmtId="167" fontId="0" fillId="5" borderId="0" xfId="0" applyNumberFormat="1" applyFill="1"/>
    <xf numFmtId="169" fontId="0" fillId="5" borderId="0" xfId="0" applyNumberFormat="1" applyFill="1"/>
    <xf numFmtId="9" fontId="2" fillId="5" borderId="0" xfId="0" applyNumberFormat="1" applyFont="1" applyFill="1"/>
    <xf numFmtId="0" fontId="0" fillId="7" borderId="0" xfId="0" applyFill="1"/>
    <xf numFmtId="0" fontId="2" fillId="7" borderId="0" xfId="0" applyFont="1" applyFill="1"/>
    <xf numFmtId="165" fontId="0" fillId="7" borderId="0" xfId="0" applyNumberFormat="1" applyFill="1"/>
    <xf numFmtId="44" fontId="0" fillId="0" borderId="0" xfId="0" applyNumberFormat="1"/>
    <xf numFmtId="170" fontId="2" fillId="5" borderId="0" xfId="0" applyNumberFormat="1" applyFont="1" applyFill="1"/>
    <xf numFmtId="9" fontId="0" fillId="0" borderId="0" xfId="1" applyFont="1"/>
    <xf numFmtId="171" fontId="0" fillId="0" borderId="0" xfId="0" applyNumberFormat="1"/>
    <xf numFmtId="0" fontId="2" fillId="5" borderId="0" xfId="0" applyFont="1" applyFill="1" applyAlignment="1">
      <alignment horizontal="left"/>
    </xf>
    <xf numFmtId="164" fontId="2" fillId="5" borderId="0" xfId="0" applyNumberFormat="1" applyFont="1" applyFill="1"/>
    <xf numFmtId="172" fontId="0" fillId="0" borderId="0" xfId="0" applyNumberFormat="1"/>
    <xf numFmtId="0" fontId="12" fillId="0" borderId="0" xfId="0" applyFont="1"/>
    <xf numFmtId="170" fontId="0" fillId="0" borderId="0" xfId="0" applyNumberFormat="1"/>
    <xf numFmtId="173" fontId="0" fillId="0" borderId="0" xfId="0" applyNumberFormat="1"/>
    <xf numFmtId="170" fontId="0" fillId="4" borderId="0" xfId="0" applyNumberFormat="1" applyFill="1"/>
    <xf numFmtId="10" fontId="0" fillId="5" borderId="0" xfId="0" applyNumberFormat="1" applyFill="1"/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left"/>
    </xf>
  </cellXfs>
  <cellStyles count="4">
    <cellStyle name="Hiperlink" xfId="2" builtinId="8"/>
    <cellStyle name="Moeda" xfId="3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plotArea>
      <cx:plotAreaRegion>
        <cx:series layoutId="waterfall" uniqueId="{1AC9FD33-01C3-442F-9093-FCC278F15E06}"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pt-BR" sz="800" b="0" i="0" u="none" strike="noStrike" baseline="0">
              <a:solidFill>
                <a:srgbClr val="44546A"/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WTP (R$)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WTP (R$)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pt-BR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8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19050</xdr:rowOff>
    </xdr:from>
    <xdr:to>
      <xdr:col>2</xdr:col>
      <xdr:colOff>5143501</xdr:colOff>
      <xdr:row>39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66494FF-1FB6-4111-872C-6351DD633B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6325" y="2505075"/>
              <a:ext cx="5143501" cy="502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cb.gov.br/publicacoes/boletimregional/201901" TargetMode="External"/><Relationship Id="rId4" Type="http://schemas.openxmlformats.org/officeDocument/2006/relationships/hyperlink" Target="https://www.bcb.gov.br/publicacoes/boletimregional/2019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cb.gov.br/publicacoes/boletimregional/20190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6"/>
  <sheetViews>
    <sheetView showGridLines="0" workbookViewId="0">
      <selection activeCell="D13" sqref="D13"/>
    </sheetView>
  </sheetViews>
  <sheetFormatPr defaultRowHeight="15" x14ac:dyDescent="0.25"/>
  <cols>
    <col min="1" max="2" width="3.28515625" customWidth="1"/>
    <col min="3" max="3" width="63.140625" bestFit="1" customWidth="1"/>
    <col min="4" max="4" width="36.140625" bestFit="1" customWidth="1"/>
  </cols>
  <sheetData>
    <row r="3" spans="2:5" x14ac:dyDescent="0.25">
      <c r="C3" s="15" t="s">
        <v>17</v>
      </c>
    </row>
    <row r="4" spans="2:5" x14ac:dyDescent="0.25">
      <c r="C4" s="1"/>
      <c r="D4" s="1" t="s">
        <v>10</v>
      </c>
      <c r="E4" s="1" t="s">
        <v>2</v>
      </c>
    </row>
    <row r="5" spans="2:5" x14ac:dyDescent="0.25">
      <c r="B5">
        <v>1</v>
      </c>
      <c r="C5" t="s">
        <v>14</v>
      </c>
      <c r="D5" s="12" t="s">
        <v>7</v>
      </c>
      <c r="E5" s="10" t="s">
        <v>8</v>
      </c>
    </row>
    <row r="6" spans="2:5" x14ac:dyDescent="0.25">
      <c r="B6">
        <v>2</v>
      </c>
      <c r="C6" t="s">
        <v>9</v>
      </c>
      <c r="D6" s="12" t="s">
        <v>13</v>
      </c>
      <c r="E6" s="10" t="s">
        <v>11</v>
      </c>
    </row>
    <row r="7" spans="2:5" x14ac:dyDescent="0.25">
      <c r="B7">
        <v>3</v>
      </c>
      <c r="C7" t="s">
        <v>88</v>
      </c>
      <c r="D7" s="12" t="s">
        <v>15</v>
      </c>
      <c r="E7" s="13" t="s">
        <v>4</v>
      </c>
    </row>
    <row r="8" spans="2:5" x14ac:dyDescent="0.25">
      <c r="B8">
        <v>4</v>
      </c>
      <c r="C8" t="s">
        <v>89</v>
      </c>
      <c r="D8" t="s">
        <v>87</v>
      </c>
      <c r="E8" s="10" t="s">
        <v>90</v>
      </c>
    </row>
    <row r="9" spans="2:5" x14ac:dyDescent="0.25">
      <c r="B9">
        <v>5</v>
      </c>
      <c r="C9" t="s">
        <v>47</v>
      </c>
      <c r="D9" s="12" t="s">
        <v>46</v>
      </c>
      <c r="E9" s="9" t="s">
        <v>29</v>
      </c>
    </row>
    <row r="12" spans="2:5" x14ac:dyDescent="0.25">
      <c r="D12" s="1"/>
      <c r="E12" s="1"/>
    </row>
    <row r="13" spans="2:5" x14ac:dyDescent="0.25">
      <c r="D13" s="12"/>
    </row>
    <row r="14" spans="2:5" x14ac:dyDescent="0.25">
      <c r="D14" s="12"/>
      <c r="E14" s="10"/>
    </row>
    <row r="15" spans="2:5" x14ac:dyDescent="0.25">
      <c r="D15" s="12"/>
      <c r="E15" s="13"/>
    </row>
    <row r="16" spans="2:5" x14ac:dyDescent="0.25">
      <c r="D16" s="12"/>
      <c r="E16" s="9"/>
    </row>
  </sheetData>
  <hyperlinks>
    <hyperlink ref="E7" display="https://pdf.sciencedirectassets.com/271688/1-s2.0-S0304387811X0007X/1-s2.0-S0304387811000538/main.pdf?X-Amz-Security-Token=IQoJb3JpZ2luX2VjEOD%2F%2F%2F%2F%2F%2F%2F%2F%2F%2FwEaCXVzLWVhc3QtMSJIMEYCIQCVByvlata7ghiFij5xFh1BS4Vtjzj5SVb2Qw82rmx4GAIhAMm5hGEjUFFe" xr:uid="{00000000-0004-0000-0000-000000000000}"/>
    <hyperlink ref="E6" r:id="rId1" xr:uid="{00000000-0004-0000-0000-000001000000}"/>
    <hyperlink ref="E9" r:id="rId2" xr:uid="{00000000-0004-0000-0000-000002000000}"/>
    <hyperlink ref="E5" r:id="rId3" xr:uid="{D0E12AB8-9130-4589-9FD9-40D719696804}"/>
    <hyperlink ref="D8" r:id="rId4" display="https://www.bcb.gov.br/publicacoes/boletimregional/201901" xr:uid="{E9A47950-91F1-4F48-A6C2-CFD6731B52E9}"/>
    <hyperlink ref="E8" r:id="rId5" xr:uid="{FDAD17A7-B25E-4860-A567-EFC567F44067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3"/>
  <sheetViews>
    <sheetView showGridLines="0" tabSelected="1" topLeftCell="A1048558" workbookViewId="0">
      <selection activeCell="F1048576" sqref="F1048576"/>
    </sheetView>
  </sheetViews>
  <sheetFormatPr defaultRowHeight="15" x14ac:dyDescent="0.25"/>
  <cols>
    <col min="1" max="1" width="6.140625" customWidth="1"/>
    <col min="2" max="2" width="17.140625" customWidth="1"/>
    <col min="3" max="3" width="95.7109375" bestFit="1" customWidth="1"/>
    <col min="4" max="4" width="15.85546875" bestFit="1" customWidth="1"/>
    <col min="5" max="5" width="15.85546875" customWidth="1"/>
    <col min="6" max="6" width="12.85546875" bestFit="1" customWidth="1"/>
    <col min="7" max="7" width="9" bestFit="1" customWidth="1"/>
    <col min="8" max="8" width="18" customWidth="1"/>
    <col min="9" max="9" width="17.85546875" bestFit="1" customWidth="1"/>
    <col min="10" max="10" width="12.140625" customWidth="1"/>
    <col min="12" max="12" width="9.28515625" customWidth="1"/>
  </cols>
  <sheetData>
    <row r="1" spans="1:8" x14ac:dyDescent="0.25">
      <c r="B1" s="1"/>
    </row>
    <row r="2" spans="1:8" x14ac:dyDescent="0.25">
      <c r="B2" s="1"/>
    </row>
    <row r="3" spans="1:8" x14ac:dyDescent="0.25">
      <c r="A3" s="3" t="s">
        <v>84</v>
      </c>
      <c r="B3" s="3" t="s">
        <v>3</v>
      </c>
      <c r="C3" s="3" t="s">
        <v>16</v>
      </c>
    </row>
    <row r="4" spans="1:8" x14ac:dyDescent="0.25">
      <c r="C4" t="str">
        <f>costs!A13</f>
        <v>Valor do benefício médio anual</v>
      </c>
      <c r="D4" s="5">
        <f>costs!B13</f>
        <v>1223.1600000000001</v>
      </c>
      <c r="E4" s="5"/>
    </row>
    <row r="5" spans="1:8" x14ac:dyDescent="0.25">
      <c r="C5" t="s">
        <v>78</v>
      </c>
      <c r="D5" s="39">
        <f>D4</f>
        <v>1223.1600000000001</v>
      </c>
      <c r="E5" s="39"/>
      <c r="G5" s="28"/>
      <c r="H5" s="23"/>
    </row>
    <row r="6" spans="1:8" x14ac:dyDescent="0.25">
      <c r="D6" s="17"/>
      <c r="E6" s="17"/>
      <c r="G6" s="1"/>
    </row>
    <row r="7" spans="1:8" x14ac:dyDescent="0.25">
      <c r="C7" s="20" t="str">
        <f>costs!A7</f>
        <v>Numero de individuos no BF</v>
      </c>
      <c r="D7" s="4">
        <f>costs!B7</f>
        <v>52237520</v>
      </c>
      <c r="E7" s="2"/>
      <c r="F7" s="2"/>
    </row>
    <row r="8" spans="1:8" x14ac:dyDescent="0.25">
      <c r="C8" s="20" t="s">
        <v>62</v>
      </c>
      <c r="D8" s="4">
        <f>D7*0.01</f>
        <v>522375.2</v>
      </c>
      <c r="E8" s="4"/>
    </row>
    <row r="9" spans="1:8" x14ac:dyDescent="0.25">
      <c r="C9" s="1" t="s">
        <v>109</v>
      </c>
      <c r="D9">
        <v>2747373</v>
      </c>
    </row>
    <row r="10" spans="1:8" x14ac:dyDescent="0.25">
      <c r="A10" t="s">
        <v>101</v>
      </c>
      <c r="B10" s="38" t="s">
        <v>7</v>
      </c>
      <c r="C10" s="1" t="s">
        <v>111</v>
      </c>
      <c r="D10" s="65">
        <v>9.2999999999999999E-2</v>
      </c>
      <c r="E10" s="23"/>
    </row>
    <row r="11" spans="1:8" x14ac:dyDescent="0.25">
      <c r="A11" t="s">
        <v>101</v>
      </c>
      <c r="B11" s="38" t="s">
        <v>13</v>
      </c>
      <c r="C11" s="1" t="s">
        <v>12</v>
      </c>
      <c r="D11" s="23">
        <v>3294000</v>
      </c>
      <c r="E11" s="23"/>
    </row>
    <row r="12" spans="1:8" x14ac:dyDescent="0.25">
      <c r="B12" s="38"/>
      <c r="C12" s="1" t="s">
        <v>76</v>
      </c>
      <c r="D12" s="27">
        <f>D11/1.4442715</f>
        <v>2280734.6125711128</v>
      </c>
      <c r="E12" s="27"/>
    </row>
    <row r="13" spans="1:8" x14ac:dyDescent="0.25">
      <c r="C13" s="1" t="s">
        <v>110</v>
      </c>
      <c r="D13" s="4">
        <v>31429</v>
      </c>
      <c r="E13" s="48"/>
      <c r="G13" s="1"/>
    </row>
    <row r="14" spans="1:8" x14ac:dyDescent="0.25">
      <c r="C14" s="1" t="s">
        <v>112</v>
      </c>
      <c r="D14" s="4">
        <f>D13/(1-0.09)</f>
        <v>34537.362637362639</v>
      </c>
    </row>
    <row r="15" spans="1:8" x14ac:dyDescent="0.25">
      <c r="C15" s="1" t="s">
        <v>113</v>
      </c>
      <c r="D15" s="4">
        <f>D14-D13</f>
        <v>3108.3626373626394</v>
      </c>
    </row>
    <row r="16" spans="1:8" x14ac:dyDescent="0.25">
      <c r="C16" s="1" t="s">
        <v>64</v>
      </c>
      <c r="D16" s="63">
        <f>(D15*D12)/D7</f>
        <v>135.7137600608873</v>
      </c>
      <c r="E16" s="17"/>
    </row>
    <row r="17" spans="1:17" x14ac:dyDescent="0.25">
      <c r="C17" s="1" t="s">
        <v>102</v>
      </c>
      <c r="D17" s="4">
        <f>D16*costs!B8</f>
        <v>529.28366423746047</v>
      </c>
      <c r="E17" s="17"/>
      <c r="G17" s="1"/>
    </row>
    <row r="18" spans="1:17" x14ac:dyDescent="0.25">
      <c r="C18" s="14" t="s">
        <v>48</v>
      </c>
      <c r="D18" s="18">
        <f>(D17+D5)/$D$5</f>
        <v>1.4327182578219206</v>
      </c>
      <c r="E18" s="26"/>
      <c r="G18" s="1"/>
    </row>
    <row r="20" spans="1:17" x14ac:dyDescent="0.25">
      <c r="A20" t="s">
        <v>91</v>
      </c>
      <c r="B20" t="s">
        <v>92</v>
      </c>
      <c r="C20" t="s">
        <v>5</v>
      </c>
      <c r="D20" s="11">
        <f>H31</f>
        <v>4.927677183144278E-2</v>
      </c>
      <c r="E20" s="11"/>
      <c r="G20" s="67" t="s">
        <v>82</v>
      </c>
      <c r="H20" s="67"/>
      <c r="I20" s="67"/>
      <c r="J20" s="67"/>
      <c r="K20" s="67"/>
      <c r="L20" s="67"/>
      <c r="M20" s="67"/>
      <c r="N20" s="67"/>
      <c r="O20" s="67"/>
      <c r="P20" s="67"/>
      <c r="Q20" s="30"/>
    </row>
    <row r="21" spans="1:17" x14ac:dyDescent="0.25">
      <c r="C21" s="23" t="s">
        <v>6</v>
      </c>
      <c r="D21" s="42">
        <v>0.22</v>
      </c>
      <c r="E21" s="42"/>
      <c r="F21" s="3" t="s">
        <v>93</v>
      </c>
      <c r="G21" s="30"/>
      <c r="H21" s="67" t="s">
        <v>69</v>
      </c>
      <c r="I21" s="67"/>
      <c r="J21" s="67"/>
      <c r="K21" s="67"/>
      <c r="L21" s="67"/>
      <c r="M21" s="67"/>
      <c r="N21" s="67"/>
      <c r="O21" s="67"/>
      <c r="P21" s="67"/>
      <c r="Q21" s="30"/>
    </row>
    <row r="22" spans="1:17" x14ac:dyDescent="0.25">
      <c r="C22" t="s">
        <v>50</v>
      </c>
      <c r="D22" s="2">
        <f>12*costs!B9</f>
        <v>646.79999999999995</v>
      </c>
      <c r="E22" s="2"/>
      <c r="G22" s="30"/>
      <c r="H22" s="31">
        <v>1</v>
      </c>
      <c r="I22" s="31">
        <v>2</v>
      </c>
      <c r="J22" s="31">
        <v>3</v>
      </c>
      <c r="K22" s="31">
        <v>4</v>
      </c>
      <c r="L22" s="31">
        <v>5</v>
      </c>
      <c r="M22" s="31">
        <v>6</v>
      </c>
      <c r="N22" s="31">
        <v>7</v>
      </c>
      <c r="O22" s="31">
        <v>8</v>
      </c>
      <c r="P22" s="31">
        <v>9</v>
      </c>
      <c r="Q22" s="32" t="s">
        <v>105</v>
      </c>
    </row>
    <row r="23" spans="1:17" x14ac:dyDescent="0.25">
      <c r="C23" t="s">
        <v>58</v>
      </c>
      <c r="D23" s="4">
        <f>D21*D22</f>
        <v>142.29599999999999</v>
      </c>
      <c r="E23" s="4"/>
      <c r="G23" s="32" t="s">
        <v>71</v>
      </c>
      <c r="H23" s="33">
        <v>4.0000000000000001E-3</v>
      </c>
      <c r="I23" s="33">
        <v>3.0000000000000001E-3</v>
      </c>
      <c r="J23" s="33">
        <v>3.0000000000000001E-3</v>
      </c>
      <c r="K23" s="33">
        <v>3.0000000000000001E-3</v>
      </c>
      <c r="L23" s="33">
        <v>4.0000000000000001E-3</v>
      </c>
      <c r="M23" s="33">
        <v>1.0999999999999999E-2</v>
      </c>
      <c r="N23" s="33">
        <v>1.2999999999999999E-2</v>
      </c>
      <c r="O23" s="33">
        <v>1.6E-2</v>
      </c>
      <c r="P23" s="33">
        <v>1.6E-2</v>
      </c>
      <c r="Q23" s="30"/>
    </row>
    <row r="24" spans="1:17" x14ac:dyDescent="0.25">
      <c r="C24" s="1" t="s">
        <v>51</v>
      </c>
      <c r="D24" s="5">
        <f>D22-D23</f>
        <v>504.50399999999996</v>
      </c>
      <c r="E24" s="5"/>
      <c r="F24" s="12" t="s">
        <v>15</v>
      </c>
      <c r="G24" s="32" t="s">
        <v>68</v>
      </c>
      <c r="H24" s="34">
        <f>3*(0.00299 + 0.00245)</f>
        <v>1.6320000000000001E-2</v>
      </c>
      <c r="I24" s="34">
        <f>3*(0.00299 + 0.00245)</f>
        <v>1.6320000000000001E-2</v>
      </c>
      <c r="J24" s="34">
        <f>3*(0.00299 + 0.00245)</f>
        <v>1.6320000000000001E-2</v>
      </c>
      <c r="K24" s="34">
        <f>3*(0.00299 + 0.00245)</f>
        <v>1.6320000000000001E-2</v>
      </c>
      <c r="L24" s="34">
        <f>3*(0.00299 + 0.00245)</f>
        <v>1.6320000000000001E-2</v>
      </c>
      <c r="M24" s="34">
        <f>3*(0.00264 + 0.00111 + 0.00177)</f>
        <v>1.6559999999999998E-2</v>
      </c>
      <c r="N24" s="34">
        <f>3*(0.00264 + 0.00111 + 0.00177)</f>
        <v>1.6559999999999998E-2</v>
      </c>
      <c r="O24" s="34">
        <f>3*(0.00264 + 0.00111 + 0.00177)</f>
        <v>1.6559999999999998E-2</v>
      </c>
      <c r="P24" s="34">
        <f>3*(0.00264 + 0.00111 + 0.00177)</f>
        <v>1.6559999999999998E-2</v>
      </c>
      <c r="Q24" s="30"/>
    </row>
    <row r="25" spans="1:17" x14ac:dyDescent="0.25">
      <c r="C25" t="s">
        <v>79</v>
      </c>
      <c r="D25" s="2">
        <f>D22*(1+D20)</f>
        <v>678.67221602057714</v>
      </c>
      <c r="E25" s="2"/>
      <c r="G25" s="32" t="s">
        <v>72</v>
      </c>
      <c r="H25" s="33">
        <f>H24+H23</f>
        <v>2.0320000000000001E-2</v>
      </c>
      <c r="I25" s="33">
        <f t="shared" ref="I25:P25" si="0">I24+I23</f>
        <v>1.932E-2</v>
      </c>
      <c r="J25" s="33">
        <f t="shared" si="0"/>
        <v>1.932E-2</v>
      </c>
      <c r="K25" s="33">
        <f t="shared" si="0"/>
        <v>1.932E-2</v>
      </c>
      <c r="L25" s="33">
        <f t="shared" si="0"/>
        <v>2.0320000000000001E-2</v>
      </c>
      <c r="M25" s="33">
        <f t="shared" si="0"/>
        <v>2.7559999999999998E-2</v>
      </c>
      <c r="N25" s="33">
        <f t="shared" si="0"/>
        <v>2.9559999999999996E-2</v>
      </c>
      <c r="O25" s="33">
        <f t="shared" si="0"/>
        <v>3.2559999999999999E-2</v>
      </c>
      <c r="P25" s="33">
        <f t="shared" si="0"/>
        <v>3.2559999999999999E-2</v>
      </c>
      <c r="Q25" s="30"/>
    </row>
    <row r="26" spans="1:17" x14ac:dyDescent="0.25">
      <c r="C26" t="s">
        <v>59</v>
      </c>
      <c r="D26" s="2">
        <f>D25*D21</f>
        <v>149.30788752452696</v>
      </c>
      <c r="E26" s="2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spans="1:17" x14ac:dyDescent="0.25">
      <c r="C27" s="1" t="s">
        <v>52</v>
      </c>
      <c r="D27" s="5">
        <f>D25-D26</f>
        <v>529.36432849605012</v>
      </c>
      <c r="E27" s="5"/>
      <c r="G27" s="32" t="s">
        <v>73</v>
      </c>
      <c r="H27" s="35">
        <f>(1-H23)</f>
        <v>0.996</v>
      </c>
      <c r="I27" s="35">
        <f t="shared" ref="I27:O27" si="1">(1-I23)</f>
        <v>0.997</v>
      </c>
      <c r="J27" s="35">
        <f t="shared" si="1"/>
        <v>0.997</v>
      </c>
      <c r="K27" s="35">
        <f t="shared" si="1"/>
        <v>0.997</v>
      </c>
      <c r="L27" s="35">
        <f t="shared" si="1"/>
        <v>0.996</v>
      </c>
      <c r="M27" s="35">
        <f t="shared" si="1"/>
        <v>0.98899999999999999</v>
      </c>
      <c r="N27" s="35">
        <f t="shared" si="1"/>
        <v>0.98699999999999999</v>
      </c>
      <c r="O27" s="35">
        <f t="shared" si="1"/>
        <v>0.98399999999999999</v>
      </c>
      <c r="P27" s="35">
        <f>(1-P23)</f>
        <v>0.98399999999999999</v>
      </c>
      <c r="Q27" s="32">
        <f>PRODUCT(H27:P27)</f>
        <v>0.92919698703863229</v>
      </c>
    </row>
    <row r="28" spans="1:17" x14ac:dyDescent="0.25">
      <c r="C28" t="s">
        <v>80</v>
      </c>
      <c r="D28">
        <v>40</v>
      </c>
      <c r="G28" s="32" t="s">
        <v>74</v>
      </c>
      <c r="H28" s="35">
        <f>(1-H25)</f>
        <v>0.97968</v>
      </c>
      <c r="I28" s="35">
        <f t="shared" ref="I28:O28" si="2">(1-I25)</f>
        <v>0.98068</v>
      </c>
      <c r="J28" s="35">
        <f t="shared" si="2"/>
        <v>0.98068</v>
      </c>
      <c r="K28" s="35">
        <f t="shared" si="2"/>
        <v>0.98068</v>
      </c>
      <c r="L28" s="35">
        <f t="shared" si="2"/>
        <v>0.97968</v>
      </c>
      <c r="M28" s="35">
        <f t="shared" si="2"/>
        <v>0.97243999999999997</v>
      </c>
      <c r="N28" s="35">
        <f t="shared" si="2"/>
        <v>0.97043999999999997</v>
      </c>
      <c r="O28" s="35">
        <f t="shared" si="2"/>
        <v>0.96743999999999997</v>
      </c>
      <c r="P28" s="35">
        <f>(1-P25)</f>
        <v>0.96743999999999997</v>
      </c>
      <c r="Q28" s="32">
        <f>PRODUCT(H28:P28)</f>
        <v>0.79952127169273024</v>
      </c>
    </row>
    <row r="29" spans="1:17" x14ac:dyDescent="0.25">
      <c r="C29" t="s">
        <v>81</v>
      </c>
      <c r="D29">
        <v>9</v>
      </c>
      <c r="G29" s="32"/>
      <c r="H29" s="35"/>
      <c r="I29" s="35"/>
      <c r="J29" s="35"/>
      <c r="K29" s="35"/>
      <c r="L29" s="35"/>
      <c r="M29" s="35"/>
      <c r="N29" s="35"/>
      <c r="O29" s="35"/>
      <c r="P29" s="30"/>
      <c r="Q29" s="32"/>
    </row>
    <row r="30" spans="1:17" x14ac:dyDescent="0.25">
      <c r="C30" t="s">
        <v>43</v>
      </c>
      <c r="D30" s="16">
        <v>0.03</v>
      </c>
      <c r="E30" s="16"/>
      <c r="F30" t="s">
        <v>87</v>
      </c>
      <c r="G30" s="30" t="s">
        <v>83</v>
      </c>
      <c r="H30" s="36">
        <v>0.38</v>
      </c>
      <c r="I30" s="35"/>
      <c r="J30" s="35"/>
      <c r="K30" s="35"/>
      <c r="L30" s="35"/>
      <c r="M30" s="35"/>
      <c r="N30" s="35"/>
      <c r="O30" s="35"/>
      <c r="P30" s="30"/>
      <c r="Q30" s="35">
        <f>Q27-Q28</f>
        <v>0.12967571534590205</v>
      </c>
    </row>
    <row r="31" spans="1:17" x14ac:dyDescent="0.25">
      <c r="G31" s="32" t="s">
        <v>75</v>
      </c>
      <c r="H31" s="30">
        <f>H30*(Q27-Q28)</f>
        <v>4.927677183144278E-2</v>
      </c>
      <c r="I31" s="35"/>
      <c r="J31" s="35"/>
      <c r="K31" s="35"/>
      <c r="L31" s="35"/>
      <c r="M31" s="35"/>
      <c r="N31" s="35"/>
      <c r="O31" s="35"/>
      <c r="P31" s="30"/>
      <c r="Q31" s="30"/>
    </row>
    <row r="32" spans="1:17" x14ac:dyDescent="0.25">
      <c r="C32" t="s">
        <v>63</v>
      </c>
      <c r="D32" s="24">
        <f>D27-D24</f>
        <v>24.860328496050158</v>
      </c>
      <c r="E32" s="24"/>
      <c r="G32" s="28"/>
      <c r="H32" s="23"/>
      <c r="I32" s="41"/>
      <c r="K32" s="28"/>
      <c r="L32" s="23"/>
      <c r="M32" s="41"/>
      <c r="N32" s="41"/>
    </row>
    <row r="33" spans="3:14" x14ac:dyDescent="0.25">
      <c r="F33" s="43" t="s">
        <v>94</v>
      </c>
      <c r="G33" s="66" t="s">
        <v>97</v>
      </c>
      <c r="H33" s="66"/>
      <c r="I33" s="66"/>
      <c r="K33" s="69"/>
      <c r="L33" s="69"/>
      <c r="M33" s="69"/>
      <c r="N33" s="69"/>
    </row>
    <row r="34" spans="3:14" x14ac:dyDescent="0.25">
      <c r="D34" s="22"/>
      <c r="E34" s="22"/>
      <c r="F34" s="44">
        <v>0.03</v>
      </c>
      <c r="G34" s="51"/>
      <c r="H34" s="52" t="s">
        <v>98</v>
      </c>
      <c r="I34" s="52" t="s">
        <v>99</v>
      </c>
      <c r="K34" s="58"/>
      <c r="L34" s="58"/>
      <c r="M34" s="58"/>
      <c r="N34" s="58"/>
    </row>
    <row r="35" spans="3:14" x14ac:dyDescent="0.25">
      <c r="C35" t="s">
        <v>85</v>
      </c>
      <c r="D35" s="2">
        <f>SUM(H44:H83)</f>
        <v>453.62677318729078</v>
      </c>
      <c r="E35" s="2"/>
      <c r="F35" s="43" t="s">
        <v>70</v>
      </c>
      <c r="G35" s="51">
        <f>0</f>
        <v>0</v>
      </c>
      <c r="H35" s="51">
        <v>0</v>
      </c>
      <c r="I35" s="53">
        <f t="shared" ref="I35:I43" si="3">$D$5/(1+$F$34)^G35</f>
        <v>1223.1600000000001</v>
      </c>
      <c r="K35" s="28"/>
      <c r="L35" s="23"/>
      <c r="M35" s="23"/>
      <c r="N35" s="23"/>
    </row>
    <row r="36" spans="3:14" x14ac:dyDescent="0.25">
      <c r="C36" t="s">
        <v>67</v>
      </c>
      <c r="D36" s="17">
        <f>SUM(I35:I43)</f>
        <v>9809.3666985522159</v>
      </c>
      <c r="E36" s="17"/>
      <c r="F36" s="44">
        <v>0</v>
      </c>
      <c r="G36" s="51">
        <f>G35+1</f>
        <v>1</v>
      </c>
      <c r="H36" s="51">
        <v>0</v>
      </c>
      <c r="I36" s="53">
        <f t="shared" si="3"/>
        <v>1187.5339805825242</v>
      </c>
      <c r="K36" s="28"/>
      <c r="L36" s="23"/>
      <c r="M36" s="23"/>
      <c r="N36" s="23"/>
    </row>
    <row r="37" spans="3:14" x14ac:dyDescent="0.25">
      <c r="C37" t="s">
        <v>86</v>
      </c>
      <c r="D37">
        <v>2</v>
      </c>
      <c r="E37" s="60"/>
      <c r="F37" s="19"/>
      <c r="G37" s="51">
        <f t="shared" ref="G37:G83" si="4">G36+1</f>
        <v>2</v>
      </c>
      <c r="H37" s="51">
        <v>0</v>
      </c>
      <c r="I37" s="53">
        <f t="shared" si="3"/>
        <v>1152.9456122160432</v>
      </c>
      <c r="K37" s="28"/>
      <c r="L37" s="29"/>
      <c r="M37" s="29"/>
      <c r="N37" s="59"/>
    </row>
    <row r="38" spans="3:14" x14ac:dyDescent="0.25">
      <c r="C38" s="14" t="s">
        <v>54</v>
      </c>
      <c r="D38" s="40">
        <f>D37*(D35/$D$36)</f>
        <v>9.248849332021454E-2</v>
      </c>
      <c r="E38" s="55"/>
      <c r="G38" s="51">
        <f t="shared" si="4"/>
        <v>3</v>
      </c>
      <c r="H38" s="51">
        <v>0</v>
      </c>
      <c r="I38" s="53">
        <f t="shared" si="3"/>
        <v>1119.3646720544107</v>
      </c>
      <c r="K38" s="28"/>
      <c r="L38" s="29"/>
      <c r="M38" s="29"/>
      <c r="N38" s="42"/>
    </row>
    <row r="39" spans="3:14" x14ac:dyDescent="0.25">
      <c r="F39" s="17"/>
      <c r="G39" s="51">
        <f t="shared" si="4"/>
        <v>4</v>
      </c>
      <c r="H39" s="51">
        <v>0</v>
      </c>
      <c r="I39" s="53">
        <f t="shared" si="3"/>
        <v>1086.7618175285543</v>
      </c>
      <c r="K39" s="68"/>
      <c r="L39" s="68"/>
      <c r="M39" s="68"/>
      <c r="N39" s="28"/>
    </row>
    <row r="40" spans="3:14" x14ac:dyDescent="0.25">
      <c r="G40" s="51">
        <f t="shared" si="4"/>
        <v>5</v>
      </c>
      <c r="H40" s="51">
        <v>0</v>
      </c>
      <c r="I40" s="53">
        <f t="shared" si="3"/>
        <v>1055.1085607073342</v>
      </c>
    </row>
    <row r="41" spans="3:14" x14ac:dyDescent="0.25">
      <c r="G41" s="51">
        <f t="shared" si="4"/>
        <v>6</v>
      </c>
      <c r="H41" s="51">
        <v>0</v>
      </c>
      <c r="I41" s="53">
        <f t="shared" si="3"/>
        <v>1024.3772434051789</v>
      </c>
    </row>
    <row r="42" spans="3:14" x14ac:dyDescent="0.25">
      <c r="G42" s="51">
        <f t="shared" si="4"/>
        <v>7</v>
      </c>
      <c r="H42" s="51">
        <v>0</v>
      </c>
      <c r="I42" s="53">
        <f t="shared" si="3"/>
        <v>994.54101301473668</v>
      </c>
    </row>
    <row r="43" spans="3:14" x14ac:dyDescent="0.25">
      <c r="D43" s="62"/>
      <c r="G43" s="51">
        <v>8</v>
      </c>
      <c r="H43" s="51">
        <v>0</v>
      </c>
      <c r="I43" s="53">
        <f t="shared" si="3"/>
        <v>965.57379904343372</v>
      </c>
    </row>
    <row r="44" spans="3:14" x14ac:dyDescent="0.25">
      <c r="G44" s="51">
        <f>G43+1</f>
        <v>9</v>
      </c>
      <c r="H44" s="51">
        <f t="shared" ref="H44:H83" si="5">$D$32*((1+$F$36)/(1+$F$34))^G44</f>
        <v>19.053371730931914</v>
      </c>
      <c r="I44" s="51"/>
    </row>
    <row r="45" spans="3:14" x14ac:dyDescent="0.25">
      <c r="G45" s="51">
        <f t="shared" si="4"/>
        <v>10</v>
      </c>
      <c r="H45" s="51">
        <f t="shared" si="5"/>
        <v>18.498419156244577</v>
      </c>
      <c r="I45" s="51"/>
    </row>
    <row r="46" spans="3:14" x14ac:dyDescent="0.25">
      <c r="G46" s="51">
        <f t="shared" si="4"/>
        <v>11</v>
      </c>
      <c r="H46" s="51">
        <f t="shared" si="5"/>
        <v>17.959630248781142</v>
      </c>
      <c r="I46" s="51"/>
    </row>
    <row r="47" spans="3:14" x14ac:dyDescent="0.25">
      <c r="G47" s="51">
        <f t="shared" si="4"/>
        <v>12</v>
      </c>
      <c r="H47" s="51">
        <f t="shared" si="5"/>
        <v>17.436534222117615</v>
      </c>
      <c r="I47" s="51"/>
    </row>
    <row r="48" spans="3:14" x14ac:dyDescent="0.25">
      <c r="G48" s="51">
        <f t="shared" si="4"/>
        <v>13</v>
      </c>
      <c r="H48" s="51">
        <f t="shared" si="5"/>
        <v>16.928674002055935</v>
      </c>
      <c r="I48" s="51"/>
    </row>
    <row r="49" spans="7:9" x14ac:dyDescent="0.25">
      <c r="G49" s="51">
        <f t="shared" si="4"/>
        <v>14</v>
      </c>
      <c r="H49" s="51">
        <f t="shared" si="5"/>
        <v>16.435605827238771</v>
      </c>
      <c r="I49" s="51"/>
    </row>
    <row r="50" spans="7:9" x14ac:dyDescent="0.25">
      <c r="G50" s="51">
        <f t="shared" si="4"/>
        <v>15</v>
      </c>
      <c r="H50" s="51">
        <f t="shared" si="5"/>
        <v>15.956898861396867</v>
      </c>
      <c r="I50" s="51"/>
    </row>
    <row r="51" spans="7:9" x14ac:dyDescent="0.25">
      <c r="G51" s="51">
        <f t="shared" si="4"/>
        <v>16</v>
      </c>
      <c r="H51" s="51">
        <f t="shared" si="5"/>
        <v>15.492134816890161</v>
      </c>
      <c r="I51" s="51"/>
    </row>
    <row r="52" spans="7:9" x14ac:dyDescent="0.25">
      <c r="G52" s="51">
        <f t="shared" si="4"/>
        <v>17</v>
      </c>
      <c r="H52" s="51">
        <f t="shared" si="5"/>
        <v>15.040907589213747</v>
      </c>
      <c r="I52" s="51"/>
    </row>
    <row r="53" spans="7:9" x14ac:dyDescent="0.25">
      <c r="G53" s="51">
        <f t="shared" si="4"/>
        <v>18</v>
      </c>
      <c r="H53" s="51">
        <f t="shared" si="5"/>
        <v>14.602822902149269</v>
      </c>
      <c r="I53" s="51"/>
    </row>
    <row r="54" spans="7:9" x14ac:dyDescent="0.25">
      <c r="G54" s="51">
        <f t="shared" si="4"/>
        <v>19</v>
      </c>
      <c r="H54" s="51">
        <f t="shared" si="5"/>
        <v>14.177497963251717</v>
      </c>
      <c r="I54" s="51"/>
    </row>
    <row r="55" spans="7:9" x14ac:dyDescent="0.25">
      <c r="G55" s="51">
        <f t="shared" si="4"/>
        <v>20</v>
      </c>
      <c r="H55" s="51">
        <f t="shared" si="5"/>
        <v>13.7645611293706</v>
      </c>
      <c r="I55" s="51"/>
    </row>
    <row r="56" spans="7:9" x14ac:dyDescent="0.25">
      <c r="G56" s="51">
        <f t="shared" si="4"/>
        <v>21</v>
      </c>
      <c r="H56" s="51">
        <f t="shared" si="5"/>
        <v>13.363651581913205</v>
      </c>
      <c r="I56" s="51"/>
    </row>
    <row r="57" spans="7:9" x14ac:dyDescent="0.25">
      <c r="G57" s="51">
        <f t="shared" si="4"/>
        <v>22</v>
      </c>
      <c r="H57" s="51">
        <f t="shared" si="5"/>
        <v>12.974419011566217</v>
      </c>
      <c r="I57" s="51"/>
    </row>
    <row r="58" spans="7:9" x14ac:dyDescent="0.25">
      <c r="G58" s="51">
        <f t="shared" si="4"/>
        <v>23</v>
      </c>
      <c r="H58" s="51">
        <f t="shared" si="5"/>
        <v>12.59652331220021</v>
      </c>
      <c r="I58" s="51"/>
    </row>
    <row r="59" spans="7:9" x14ac:dyDescent="0.25">
      <c r="G59" s="51">
        <f t="shared" si="4"/>
        <v>24</v>
      </c>
      <c r="H59" s="51">
        <f t="shared" si="5"/>
        <v>12.229634283689524</v>
      </c>
      <c r="I59" s="51"/>
    </row>
    <row r="60" spans="7:9" x14ac:dyDescent="0.25">
      <c r="G60" s="51">
        <f t="shared" si="4"/>
        <v>25</v>
      </c>
      <c r="H60" s="51">
        <f t="shared" si="5"/>
        <v>11.873431343387887</v>
      </c>
      <c r="I60" s="51"/>
    </row>
    <row r="61" spans="7:9" x14ac:dyDescent="0.25">
      <c r="G61" s="51">
        <f t="shared" si="4"/>
        <v>26</v>
      </c>
      <c r="H61" s="51">
        <f t="shared" si="5"/>
        <v>11.527603246007658</v>
      </c>
      <c r="I61" s="51"/>
    </row>
    <row r="62" spans="7:9" x14ac:dyDescent="0.25">
      <c r="G62" s="51">
        <f t="shared" si="4"/>
        <v>27</v>
      </c>
      <c r="H62" s="51">
        <f t="shared" si="5"/>
        <v>11.191847811657921</v>
      </c>
      <c r="I62" s="51"/>
    </row>
    <row r="63" spans="7:9" x14ac:dyDescent="0.25">
      <c r="G63" s="51">
        <f t="shared" si="4"/>
        <v>28</v>
      </c>
      <c r="H63" s="51">
        <f t="shared" si="5"/>
        <v>10.865871661803807</v>
      </c>
      <c r="I63" s="51"/>
    </row>
    <row r="64" spans="7:9" x14ac:dyDescent="0.25">
      <c r="G64" s="51">
        <f t="shared" si="4"/>
        <v>29</v>
      </c>
      <c r="H64" s="51">
        <f t="shared" si="5"/>
        <v>10.549389962916317</v>
      </c>
      <c r="I64" s="51"/>
    </row>
    <row r="65" spans="7:9" x14ac:dyDescent="0.25">
      <c r="G65" s="51">
        <f t="shared" si="4"/>
        <v>30</v>
      </c>
      <c r="H65" s="51">
        <f t="shared" si="5"/>
        <v>10.242126177588657</v>
      </c>
      <c r="I65" s="51"/>
    </row>
    <row r="66" spans="7:9" x14ac:dyDescent="0.25">
      <c r="G66" s="51">
        <f t="shared" si="4"/>
        <v>31</v>
      </c>
      <c r="H66" s="51">
        <f t="shared" si="5"/>
        <v>9.9438118229016101</v>
      </c>
      <c r="I66" s="51"/>
    </row>
    <row r="67" spans="7:9" x14ac:dyDescent="0.25">
      <c r="G67" s="51">
        <f t="shared" si="4"/>
        <v>32</v>
      </c>
      <c r="H67" s="51">
        <f t="shared" si="5"/>
        <v>9.6541862358268045</v>
      </c>
      <c r="I67" s="51"/>
    </row>
    <row r="68" spans="7:9" x14ac:dyDescent="0.25">
      <c r="G68" s="51">
        <f t="shared" si="4"/>
        <v>33</v>
      </c>
      <c r="H68" s="51">
        <f t="shared" si="5"/>
        <v>9.3729963454629157</v>
      </c>
      <c r="I68" s="51"/>
    </row>
    <row r="69" spans="7:9" x14ac:dyDescent="0.25">
      <c r="G69" s="51">
        <f t="shared" si="4"/>
        <v>34</v>
      </c>
      <c r="H69" s="51">
        <f t="shared" si="5"/>
        <v>9.0999964519057439</v>
      </c>
      <c r="I69" s="51"/>
    </row>
    <row r="70" spans="7:9" x14ac:dyDescent="0.25">
      <c r="G70" s="51">
        <f t="shared" si="4"/>
        <v>35</v>
      </c>
      <c r="H70" s="51">
        <f t="shared" si="5"/>
        <v>8.8349480115589767</v>
      </c>
      <c r="I70" s="51"/>
    </row>
    <row r="71" spans="7:9" x14ac:dyDescent="0.25">
      <c r="G71" s="51">
        <f t="shared" si="4"/>
        <v>36</v>
      </c>
      <c r="H71" s="51">
        <f t="shared" si="5"/>
        <v>8.5776194286980338</v>
      </c>
      <c r="I71" s="51"/>
    </row>
    <row r="72" spans="7:9" x14ac:dyDescent="0.25">
      <c r="G72" s="51">
        <f t="shared" si="4"/>
        <v>37</v>
      </c>
      <c r="H72" s="51">
        <f t="shared" si="5"/>
        <v>8.3277858531048885</v>
      </c>
      <c r="I72" s="51"/>
    </row>
    <row r="73" spans="7:9" x14ac:dyDescent="0.25">
      <c r="G73" s="51">
        <f t="shared" si="4"/>
        <v>38</v>
      </c>
      <c r="H73" s="51">
        <f t="shared" si="5"/>
        <v>8.0852289835969771</v>
      </c>
      <c r="I73" s="51"/>
    </row>
    <row r="74" spans="7:9" x14ac:dyDescent="0.25">
      <c r="G74" s="51">
        <f t="shared" si="4"/>
        <v>39</v>
      </c>
      <c r="H74" s="51">
        <f t="shared" si="5"/>
        <v>7.8497368772786196</v>
      </c>
      <c r="I74" s="51"/>
    </row>
    <row r="75" spans="7:9" x14ac:dyDescent="0.25">
      <c r="G75" s="51">
        <f t="shared" si="4"/>
        <v>40</v>
      </c>
      <c r="H75" s="51">
        <f t="shared" si="5"/>
        <v>7.6211037643481729</v>
      </c>
      <c r="I75" s="51"/>
    </row>
    <row r="76" spans="7:9" x14ac:dyDescent="0.25">
      <c r="G76" s="51">
        <f t="shared" si="4"/>
        <v>41</v>
      </c>
      <c r="H76" s="51">
        <f t="shared" si="5"/>
        <v>7.3991298682991982</v>
      </c>
      <c r="I76" s="51"/>
    </row>
    <row r="77" spans="7:9" x14ac:dyDescent="0.25">
      <c r="G77" s="51">
        <f t="shared" si="4"/>
        <v>42</v>
      </c>
      <c r="H77" s="51">
        <f t="shared" si="5"/>
        <v>7.183621231358444</v>
      </c>
      <c r="I77" s="51"/>
    </row>
    <row r="78" spans="7:9" x14ac:dyDescent="0.25">
      <c r="G78" s="51">
        <f t="shared" si="4"/>
        <v>43</v>
      </c>
      <c r="H78" s="51">
        <f t="shared" si="5"/>
        <v>6.9743895450081981</v>
      </c>
      <c r="I78" s="51"/>
    </row>
    <row r="79" spans="7:9" x14ac:dyDescent="0.25">
      <c r="G79" s="51">
        <f t="shared" si="4"/>
        <v>44</v>
      </c>
      <c r="H79" s="51">
        <f t="shared" si="5"/>
        <v>6.7712519854448532</v>
      </c>
      <c r="I79" s="51"/>
    </row>
    <row r="80" spans="7:9" x14ac:dyDescent="0.25">
      <c r="G80" s="51">
        <f t="shared" si="4"/>
        <v>45</v>
      </c>
      <c r="H80" s="51">
        <f t="shared" si="5"/>
        <v>6.5740310538299545</v>
      </c>
      <c r="I80" s="51"/>
    </row>
    <row r="81" spans="7:9" x14ac:dyDescent="0.25">
      <c r="G81" s="51">
        <f t="shared" si="4"/>
        <v>46</v>
      </c>
      <c r="H81" s="51">
        <f t="shared" si="5"/>
        <v>6.382554421194131</v>
      </c>
      <c r="I81" s="51"/>
    </row>
    <row r="82" spans="7:9" x14ac:dyDescent="0.25">
      <c r="G82" s="51">
        <f t="shared" si="4"/>
        <v>47</v>
      </c>
      <c r="H82" s="51">
        <f t="shared" si="5"/>
        <v>6.1966547778583791</v>
      </c>
      <c r="I82" s="51"/>
    </row>
    <row r="83" spans="7:9" x14ac:dyDescent="0.25">
      <c r="G83" s="51">
        <f t="shared" si="4"/>
        <v>48</v>
      </c>
      <c r="H83" s="51">
        <f t="shared" si="5"/>
        <v>6.0161696872411445</v>
      </c>
      <c r="I83" s="51"/>
    </row>
  </sheetData>
  <mergeCells count="5">
    <mergeCell ref="G33:I33"/>
    <mergeCell ref="H21:P21"/>
    <mergeCell ref="G20:P20"/>
    <mergeCell ref="K39:M39"/>
    <mergeCell ref="K33:N33"/>
  </mergeCells>
  <hyperlinks>
    <hyperlink ref="F30" r:id="rId1" display="https://www.bcb.gov.br/publicacoes/boletimregional/201901" xr:uid="{45898CF0-B32C-4F98-AD29-FB7E4811833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showGridLines="0" workbookViewId="0">
      <selection activeCell="D1" sqref="D1"/>
    </sheetView>
  </sheetViews>
  <sheetFormatPr defaultRowHeight="15" x14ac:dyDescent="0.25"/>
  <cols>
    <col min="1" max="1" width="96.5703125" customWidth="1"/>
    <col min="2" max="2" width="12.85546875" bestFit="1" customWidth="1"/>
    <col min="3" max="3" width="16.85546875" customWidth="1"/>
  </cols>
  <sheetData>
    <row r="1" spans="1:8" x14ac:dyDescent="0.25">
      <c r="A1" s="3" t="s">
        <v>93</v>
      </c>
      <c r="B1" s="3" t="s">
        <v>46</v>
      </c>
      <c r="C1" s="3" t="s">
        <v>29</v>
      </c>
    </row>
    <row r="2" spans="1:8" x14ac:dyDescent="0.25">
      <c r="A2" s="6" t="s">
        <v>23</v>
      </c>
      <c r="C2" s="6" t="s">
        <v>28</v>
      </c>
      <c r="D2" s="6"/>
      <c r="E2" s="6"/>
      <c r="F2" s="6"/>
    </row>
    <row r="3" spans="1:8" x14ac:dyDescent="0.25">
      <c r="A3" s="3" t="s">
        <v>20</v>
      </c>
      <c r="B3" s="3"/>
      <c r="C3" s="3" t="s">
        <v>96</v>
      </c>
      <c r="D3" s="3" t="s">
        <v>30</v>
      </c>
    </row>
    <row r="5" spans="1:8" x14ac:dyDescent="0.25">
      <c r="A5" s="7" t="s">
        <v>18</v>
      </c>
      <c r="B5" s="4">
        <v>20564520</v>
      </c>
      <c r="D5" t="s">
        <v>22</v>
      </c>
    </row>
    <row r="6" spans="1:8" x14ac:dyDescent="0.25">
      <c r="A6" t="s">
        <v>19</v>
      </c>
      <c r="B6" s="4">
        <v>72765336</v>
      </c>
      <c r="D6" t="s">
        <v>22</v>
      </c>
    </row>
    <row r="7" spans="1:8" x14ac:dyDescent="0.25">
      <c r="A7" t="s">
        <v>21</v>
      </c>
      <c r="B7" s="4">
        <v>52237520</v>
      </c>
      <c r="D7" t="s">
        <v>22</v>
      </c>
    </row>
    <row r="8" spans="1:8" x14ac:dyDescent="0.25">
      <c r="A8" t="s">
        <v>25</v>
      </c>
      <c r="B8">
        <v>3.9</v>
      </c>
      <c r="D8" t="s">
        <v>22</v>
      </c>
    </row>
    <row r="9" spans="1:8" x14ac:dyDescent="0.25">
      <c r="A9" t="s">
        <v>26</v>
      </c>
      <c r="B9">
        <v>53.9</v>
      </c>
      <c r="D9" t="s">
        <v>22</v>
      </c>
    </row>
    <row r="10" spans="1:8" x14ac:dyDescent="0.25">
      <c r="A10" t="s">
        <v>65</v>
      </c>
      <c r="B10" s="2">
        <v>206.3</v>
      </c>
      <c r="D10" t="s">
        <v>22</v>
      </c>
    </row>
    <row r="11" spans="1:8" x14ac:dyDescent="0.25">
      <c r="A11" t="s">
        <v>24</v>
      </c>
      <c r="B11">
        <v>101.93</v>
      </c>
      <c r="D11" t="s">
        <v>22</v>
      </c>
    </row>
    <row r="12" spans="1:8" x14ac:dyDescent="0.25">
      <c r="A12" t="s">
        <v>0</v>
      </c>
      <c r="B12">
        <v>12</v>
      </c>
    </row>
    <row r="13" spans="1:8" x14ac:dyDescent="0.25">
      <c r="A13" s="1" t="s">
        <v>27</v>
      </c>
      <c r="B13" s="26">
        <f>B11*B12</f>
        <v>1223.1600000000001</v>
      </c>
    </row>
    <row r="14" spans="1:8" x14ac:dyDescent="0.25">
      <c r="A14" s="1" t="s">
        <v>38</v>
      </c>
      <c r="B14" s="26">
        <f>B10*B12</f>
        <v>2475.6000000000004</v>
      </c>
    </row>
    <row r="15" spans="1:8" x14ac:dyDescent="0.25">
      <c r="A15" s="14" t="s">
        <v>39</v>
      </c>
      <c r="B15" s="26">
        <f>B14+B13</f>
        <v>3698.76</v>
      </c>
      <c r="G15" s="8"/>
      <c r="H15" s="8"/>
    </row>
    <row r="16" spans="1:8" x14ac:dyDescent="0.25">
      <c r="A16" s="1" t="s">
        <v>49</v>
      </c>
      <c r="B16" s="26">
        <f>B9*B12</f>
        <v>646.79999999999995</v>
      </c>
      <c r="G16" s="16"/>
      <c r="H16" s="11"/>
    </row>
    <row r="17" spans="1:5" x14ac:dyDescent="0.25">
      <c r="A17" t="s">
        <v>33</v>
      </c>
      <c r="B17">
        <v>0.02</v>
      </c>
      <c r="C17">
        <v>7.0000000000000001E-3</v>
      </c>
      <c r="D17" t="s">
        <v>32</v>
      </c>
      <c r="E17" t="s">
        <v>31</v>
      </c>
    </row>
    <row r="18" spans="1:5" x14ac:dyDescent="0.25">
      <c r="A18" t="s">
        <v>34</v>
      </c>
      <c r="B18">
        <v>2.7E-2</v>
      </c>
    </row>
    <row r="19" spans="1:5" x14ac:dyDescent="0.25">
      <c r="A19" s="6" t="s">
        <v>42</v>
      </c>
      <c r="B19" s="56">
        <f>2.7/13.6</f>
        <v>0.1985294117647059</v>
      </c>
    </row>
    <row r="20" spans="1:5" x14ac:dyDescent="0.25">
      <c r="A20" s="28" t="s">
        <v>1</v>
      </c>
      <c r="B20" s="50">
        <v>0.22</v>
      </c>
    </row>
    <row r="23" spans="1:5" x14ac:dyDescent="0.25">
      <c r="B23">
        <f>728.3*12</f>
        <v>8739.5999999999985</v>
      </c>
    </row>
    <row r="25" spans="1:5" x14ac:dyDescent="0.25">
      <c r="A25" s="1" t="s">
        <v>40</v>
      </c>
      <c r="B25" s="1">
        <f>112/B17</f>
        <v>5600</v>
      </c>
      <c r="C25" s="1"/>
    </row>
    <row r="26" spans="1:5" x14ac:dyDescent="0.25">
      <c r="A26" t="s">
        <v>37</v>
      </c>
      <c r="B26">
        <v>3.5</v>
      </c>
      <c r="C26" s="1"/>
    </row>
    <row r="27" spans="1:5" x14ac:dyDescent="0.25">
      <c r="A27" t="s">
        <v>36</v>
      </c>
      <c r="B27">
        <v>0.06</v>
      </c>
    </row>
    <row r="28" spans="1:5" x14ac:dyDescent="0.25">
      <c r="A28" t="s">
        <v>35</v>
      </c>
      <c r="B28">
        <v>6</v>
      </c>
    </row>
    <row r="29" spans="1:5" x14ac:dyDescent="0.25">
      <c r="A29" s="1" t="s">
        <v>66</v>
      </c>
      <c r="B29" s="47">
        <f>(B25*B26)/(1+B27)^B28</f>
        <v>13817.226592617655</v>
      </c>
    </row>
    <row r="30" spans="1:5" x14ac:dyDescent="0.25">
      <c r="A30" s="1" t="s">
        <v>41</v>
      </c>
      <c r="B30" s="48">
        <f>B13/B29</f>
        <v>8.8524277415665806E-2</v>
      </c>
      <c r="C30" s="57"/>
    </row>
    <row r="31" spans="1:5" x14ac:dyDescent="0.25">
      <c r="A31" s="1" t="s">
        <v>104</v>
      </c>
      <c r="B31" s="26">
        <f>1650.3*12</f>
        <v>19803.599999999999</v>
      </c>
    </row>
    <row r="32" spans="1:5" x14ac:dyDescent="0.25">
      <c r="A32" s="1" t="s">
        <v>103</v>
      </c>
      <c r="B32" s="26">
        <f>B31*B30</f>
        <v>1753.0993802288792</v>
      </c>
      <c r="D32" s="54"/>
    </row>
    <row r="33" spans="1:4" x14ac:dyDescent="0.25">
      <c r="A33" s="23" t="s">
        <v>1</v>
      </c>
      <c r="B33" s="46">
        <v>0.22</v>
      </c>
    </row>
    <row r="34" spans="1:4" x14ac:dyDescent="0.25">
      <c r="A34" t="s">
        <v>55</v>
      </c>
      <c r="B34" s="26">
        <f>B32*B33</f>
        <v>385.68186365035342</v>
      </c>
    </row>
    <row r="35" spans="1:4" x14ac:dyDescent="0.25">
      <c r="A35" t="s">
        <v>60</v>
      </c>
      <c r="B35" s="49">
        <f>PRODUCT(WTP!D38,WTP!D21,WTP!D5)</f>
        <v>24.8882096077018</v>
      </c>
    </row>
    <row r="36" spans="1:4" x14ac:dyDescent="0.25">
      <c r="A36" t="s">
        <v>100</v>
      </c>
      <c r="B36" s="49">
        <v>3.25</v>
      </c>
    </row>
    <row r="37" spans="1:4" x14ac:dyDescent="0.25">
      <c r="A37" s="1" t="s">
        <v>57</v>
      </c>
      <c r="B37" s="21">
        <f>B34+B35-B36</f>
        <v>407.32007325805523</v>
      </c>
    </row>
    <row r="38" spans="1:4" x14ac:dyDescent="0.25">
      <c r="A38" s="1" t="s">
        <v>56</v>
      </c>
      <c r="B38" s="37">
        <f>(B13-B37)/B13</f>
        <v>0.66699362858656663</v>
      </c>
    </row>
    <row r="39" spans="1:4" x14ac:dyDescent="0.25">
      <c r="B39" s="24">
        <f>1-B38</f>
        <v>0.33300637141343337</v>
      </c>
      <c r="D39" s="63"/>
    </row>
    <row r="41" spans="1:4" x14ac:dyDescent="0.25">
      <c r="C41" s="54"/>
    </row>
    <row r="59" spans="8:8" x14ac:dyDescent="0.25">
      <c r="H59" s="2"/>
    </row>
  </sheetData>
  <phoneticPr fontId="7" type="noConversion"/>
  <hyperlinks>
    <hyperlink ref="C1" r:id="rId1" xr:uid="{F3B666BA-4BB2-434A-8D3B-6EB6CEA439BD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"/>
  <sheetViews>
    <sheetView showGridLines="0" workbookViewId="0">
      <selection activeCell="D9" sqref="D9"/>
    </sheetView>
  </sheetViews>
  <sheetFormatPr defaultRowHeight="15" x14ac:dyDescent="0.25"/>
  <cols>
    <col min="1" max="1" width="7" customWidth="1"/>
    <col min="3" max="3" width="95.7109375" bestFit="1" customWidth="1"/>
    <col min="4" max="4" width="10.5703125" bestFit="1" customWidth="1"/>
    <col min="5" max="5" width="9.85546875" bestFit="1" customWidth="1"/>
  </cols>
  <sheetData>
    <row r="1" spans="2:6" x14ac:dyDescent="0.25">
      <c r="B1" s="1"/>
    </row>
    <row r="2" spans="2:6" x14ac:dyDescent="0.25">
      <c r="B2" s="1"/>
    </row>
    <row r="3" spans="2:6" x14ac:dyDescent="0.25">
      <c r="C3" s="3" t="s">
        <v>44</v>
      </c>
    </row>
    <row r="4" spans="2:6" x14ac:dyDescent="0.25">
      <c r="C4" t="s">
        <v>95</v>
      </c>
      <c r="D4" s="45">
        <f>costs!B38</f>
        <v>0.66699362858656663</v>
      </c>
    </row>
    <row r="5" spans="2:6" x14ac:dyDescent="0.25">
      <c r="C5" t="s">
        <v>48</v>
      </c>
      <c r="D5" s="62">
        <f>WTP!D18</f>
        <v>1.4327182578219206</v>
      </c>
    </row>
    <row r="6" spans="2:6" x14ac:dyDescent="0.25">
      <c r="C6" t="s">
        <v>45</v>
      </c>
      <c r="D6" s="48">
        <f>D5/$D$4</f>
        <v>2.148023903703562</v>
      </c>
    </row>
    <row r="7" spans="2:6" x14ac:dyDescent="0.25">
      <c r="D7" s="2"/>
      <c r="E7" s="2"/>
    </row>
    <row r="8" spans="2:6" x14ac:dyDescent="0.25">
      <c r="C8" t="s">
        <v>61</v>
      </c>
      <c r="D8" s="25">
        <f>D5+WTP!D38</f>
        <v>1.5252067511421352</v>
      </c>
      <c r="E8" s="2"/>
    </row>
    <row r="9" spans="2:6" x14ac:dyDescent="0.25">
      <c r="C9" s="1" t="s">
        <v>53</v>
      </c>
      <c r="D9" s="64">
        <f>D8/$D$4</f>
        <v>2.2866886365529715</v>
      </c>
    </row>
    <row r="10" spans="2:6" x14ac:dyDescent="0.25">
      <c r="C10" s="1"/>
      <c r="D10" s="2"/>
      <c r="E10" s="2"/>
    </row>
    <row r="11" spans="2:6" ht="15.75" x14ac:dyDescent="0.25">
      <c r="C11" t="s">
        <v>106</v>
      </c>
      <c r="D11" t="s">
        <v>108</v>
      </c>
      <c r="E11" s="61" t="s">
        <v>107</v>
      </c>
      <c r="F11" t="s">
        <v>77</v>
      </c>
    </row>
    <row r="12" spans="2:6" x14ac:dyDescent="0.25">
      <c r="C12">
        <v>1</v>
      </c>
      <c r="D12" s="2">
        <f>D5-1</f>
        <v>0.43271825782192064</v>
      </c>
      <c r="E12" s="2">
        <f>D8-D5</f>
        <v>9.2488493320214582E-2</v>
      </c>
      <c r="F12" s="2">
        <f>E12+D12+C12</f>
        <v>1.5252067511421352</v>
      </c>
    </row>
    <row r="13" spans="2:6" x14ac:dyDescent="0.25">
      <c r="D13" s="2"/>
      <c r="E13" s="2"/>
    </row>
    <row r="14" spans="2:6" x14ac:dyDescent="0.25">
      <c r="D14" s="2"/>
      <c r="E14" s="2"/>
    </row>
    <row r="15" spans="2:6" x14ac:dyDescent="0.25">
      <c r="C15" s="1"/>
      <c r="D15" s="2"/>
    </row>
    <row r="21" spans="6:6" x14ac:dyDescent="0.25">
      <c r="F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ref</vt:lpstr>
      <vt:lpstr>WTP</vt:lpstr>
      <vt:lpstr>costs</vt:lpstr>
      <vt:lpstr>MVPF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Rayne Santos</dc:creator>
  <cp:lastModifiedBy>Leonardo Bueno</cp:lastModifiedBy>
  <dcterms:created xsi:type="dcterms:W3CDTF">2023-09-13T17:59:45Z</dcterms:created>
  <dcterms:modified xsi:type="dcterms:W3CDTF">2025-03-26T12:52:02Z</dcterms:modified>
</cp:coreProperties>
</file>